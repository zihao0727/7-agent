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下单申请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<sst xmlns="http://schemas.openxmlformats.org/spreadsheetml/2006/main" count="101" uniqueCount="53">
  <si>
    <t>申请编号</t>
  </si>
  <si>
    <t>订单编号</t>
  </si>
  <si>
    <t>申请状态</t>
  </si>
  <si>
    <t>审批流程</t>
  </si>
  <si>
    <t>发起时间</t>
  </si>
  <si>
    <t>完成时间</t>
  </si>
  <si>
    <t>发起人</t>
  </si>
  <si>
    <t>发起人部门</t>
  </si>
  <si>
    <t>当前处理人</t>
  </si>
  <si>
    <t>审批节点</t>
  </si>
  <si>
    <t>材料编号</t>
  </si>
  <si>
    <t>材料名称</t>
  </si>
  <si>
    <t>供应商名称</t>
  </si>
  <si>
    <t>单价</t>
  </si>
  <si>
    <t>物料明细_单价-币种</t>
  </si>
  <si>
    <t>计量单位</t>
  </si>
  <si>
    <t>采购数量</t>
  </si>
  <si>
    <t>采购金额</t>
  </si>
  <si>
    <t>申请时库存</t>
  </si>
  <si>
    <t>采购负责人</t>
  </si>
  <si>
    <t>申请日期</t>
  </si>
  <si>
    <t>SourceID</t>
  </si>
  <si>
    <t>下单状态</t>
  </si>
  <si>
    <t>入库状态</t>
  </si>
  <si>
    <t>确认下单</t>
  </si>
  <si>
    <t>确认入库</t>
  </si>
  <si>
    <t>DD005</t>
  </si>
  <si>
    <t>已通过</t>
  </si>
  <si>
    <t>物料采购申请-测试</t>
  </si>
  <si>
    <t>用户517012</t>
  </si>
  <si>
    <t>CL018</t>
  </si>
  <si>
    <t>亚克力板</t>
  </si>
  <si>
    <t>深蓝智和</t>
  </si>
  <si>
    <t>CNY</t>
  </si>
  <si>
    <t>㎡</t>
  </si>
  <si>
    <t>NzYzOTY0NTc4NDA5ODg4NDc4Njo3Qzg5MDNEOS00OUQwLTRENEQtQThDRC0zNkZBMjk0NzVCODYtMTo4YTVlNDA1OGJjOTNlODc3OTQyMmU0YjQ4N2JlMjdkYzox</t>
  </si>
  <si>
    <t>已下单</t>
  </si>
  <si>
    <t>已入库</t>
  </si>
  <si>
    <t>CL020</t>
  </si>
  <si>
    <t>铝合金框架</t>
  </si>
  <si>
    <t>副</t>
  </si>
  <si>
    <t>NzYzOTY0NTc4NDA5ODg4NDc4Njo3Qzg5MDNEOS00OUQwLTRENEQtQThDRC0zNkZBMjk0NzVCODYtMjphZDk4ZWRhYWU1YWRiMWNkYmQwYTIxMTM5MmRmM2JiZjox</t>
  </si>
  <si>
    <t>CL022</t>
  </si>
  <si>
    <t>KT板</t>
  </si>
  <si>
    <t>上海广告材料有限公司</t>
  </si>
  <si>
    <t>NzYzOTY0NTc4NDA5ODg4NDc4Njo3Qzg5MDNEOS00OUQwLTRENEQtQThDRC0zNkZBMjk0NzVCODYtMzo5N2UxYzkwY2NlYjk3NmZkZmQwMzNiZGQ5NzFiYTM4OTox</t>
  </si>
  <si>
    <t>DD003</t>
  </si>
  <si>
    <t>CL019</t>
  </si>
  <si>
    <t>喷绘布</t>
  </si>
  <si>
    <t>NzYzOTY0NTc4NDA5ODg4NDc4NjpDMkJBQTEwQS05ODAyLTQ4MjktOUMyOS03N0FBQzJDM0Y5QTUtMTplYjhiODA4ZGVhNWJjOGNmYjJmMWM0YzI4NzU2NTU5YTox</t>
  </si>
  <si>
    <t>CL023</t>
  </si>
  <si>
    <t>PVC板</t>
  </si>
  <si>
    <t>NzYzOTY0NTc4NDA5ODg4NDc4NjpDMkJBQTEwQS05ODAyLTQ4MjktOUMyOS03N0FBQzJDM0Y5QTUtMjplYzlmMGI1YWI3MGY5NjkwMDM2ZWZlZDMyM2ZjNjVhMDox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</si>
</sst>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"/>
    <numFmt numFmtId="177" formatCode="yyyy\-mm\-dd"/>
  </numFmts>
  <fonts count="23">
    <font>
      <sz val="11"/>
      <color theme="1"/>
      <name val="DengXian"/>
      <charset val="134"/>
    </font>
    <font>
      <sz val="10"/>
      <name val="Calibri"/>
      <charset val="134"/>
    </font>
    <font>
      <u/>
      <sz val="11"/>
      <color rgb="FF0000FF"/>
      <name val="DengXi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176" fontId="0" fillId="0" borderId="0" xfId="0" applyNumberFormat="1"/>
    <xf numFmtId="17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"/>
  <sheetViews>
    <sheetView tabSelected="1" workbookViewId="0">
      <selection activeCell="K30" sqref="K30"/>
    </sheetView>
  </sheetViews>
  <sheetFormatPr defaultColWidth="9" defaultRowHeight="14.25" outlineLevelRow="5"/>
  <cols>
    <col min="1" max="3" width="19" customWidth="1"/>
    <col min="4" max="6" width="9" hidden="1" customWidth="1"/>
    <col min="7" max="7" width="19" customWidth="1"/>
    <col min="8" max="10" width="9" hidden="1" customWidth="1"/>
    <col min="11" max="14" width="19" customWidth="1"/>
    <col min="15" max="15" width="9" hidden="1" customWidth="1"/>
    <col min="16" max="21" width="19" customWidth="1"/>
    <col min="22" max="22" width="9" hidden="1" customWidth="1"/>
    <col min="23" max="26" width="19" customWidth="1"/>
  </cols>
  <sheetData>
    <row r="1" ht="13" customHeight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25.5" customHeight="1" spans="1:26">
      <c r="A2" s="2" t="str">
        <f>HYPERLINK("https://applink.feishu.cn/client/mini_program/open?appId=cli_9cb844403dbb9108&amp;mode=appCenter&amp;path_pc=pc/pages/in-process/index?instanceId=7639646759699467468&amp;source=bitable&amp;path=pages/detail/index?instanceId=7639646759699467468&amp;source=bitable","202605140002")</f>
        <v>202605140002</v>
      </c>
      <c r="B2" t="s">
        <v>26</v>
      </c>
      <c r="C2" t="s">
        <v>27</v>
      </c>
      <c r="D2" t="s">
        <v>28</v>
      </c>
      <c r="E2" s="3">
        <v>46156.6466666667</v>
      </c>
      <c r="F2" s="3">
        <v>46156.649849537</v>
      </c>
      <c r="G2" t="s">
        <v>29</v>
      </c>
      <c r="K2" t="s">
        <v>30</v>
      </c>
      <c r="L2" t="s">
        <v>31</v>
      </c>
      <c r="M2" t="s">
        <v>32</v>
      </c>
      <c r="N2">
        <v>5</v>
      </c>
      <c r="O2" t="s">
        <v>33</v>
      </c>
      <c r="P2" t="s">
        <v>34</v>
      </c>
      <c r="Q2">
        <v>20</v>
      </c>
      <c r="R2">
        <v>100</v>
      </c>
      <c r="S2">
        <v>100</v>
      </c>
      <c r="T2" t="s">
        <v>29</v>
      </c>
      <c r="U2" s="4">
        <v>46156</v>
      </c>
      <c r="V2" t="s">
        <v>35</v>
      </c>
      <c r="W2" t="s">
        <v>36</v>
      </c>
      <c r="X2" t="s">
        <v>37</v>
      </c>
      <c r="Y2" t="s">
        <v>24</v>
      </c>
      <c r="Z2" t="s">
        <v>25</v>
      </c>
    </row>
    <row r="3" ht="25.5" customHeight="1" spans="1:26">
      <c r="A3" s="2" t="str">
        <f>HYPERLINK("https://applink.feishu.cn/client/mini_program/open?appId=cli_9cb844403dbb9108&amp;mode=appCenter&amp;path_pc=pc/pages/in-process/index?instanceId=7639646759699467468&amp;source=bitable&amp;path=pages/detail/index?instanceId=7639646759699467468&amp;source=bitable","202605140002")</f>
        <v>202605140002</v>
      </c>
      <c r="B3" t="s">
        <v>26</v>
      </c>
      <c r="C3" t="s">
        <v>27</v>
      </c>
      <c r="D3" t="s">
        <v>28</v>
      </c>
      <c r="E3" s="3">
        <v>46156.6466666667</v>
      </c>
      <c r="F3" s="3">
        <v>46156.649849537</v>
      </c>
      <c r="G3" t="s">
        <v>29</v>
      </c>
      <c r="K3" t="s">
        <v>38</v>
      </c>
      <c r="L3" t="s">
        <v>39</v>
      </c>
      <c r="M3" t="s">
        <v>32</v>
      </c>
      <c r="N3">
        <v>5</v>
      </c>
      <c r="O3" t="s">
        <v>33</v>
      </c>
      <c r="P3" t="s">
        <v>40</v>
      </c>
      <c r="Q3">
        <v>20</v>
      </c>
      <c r="R3">
        <v>100</v>
      </c>
      <c r="S3">
        <v>100</v>
      </c>
      <c r="T3" t="s">
        <v>29</v>
      </c>
      <c r="U3" s="4">
        <v>46156</v>
      </c>
      <c r="V3" t="s">
        <v>41</v>
      </c>
      <c r="W3" t="s">
        <v>36</v>
      </c>
      <c r="X3" t="s">
        <v>37</v>
      </c>
      <c r="Y3" t="s">
        <v>24</v>
      </c>
      <c r="Z3" t="s">
        <v>25</v>
      </c>
    </row>
    <row r="4" ht="25.5" customHeight="1" spans="1:26">
      <c r="A4" s="2" t="str">
        <f>HYPERLINK("https://applink.feishu.cn/client/mini_program/open?appId=cli_9cb844403dbb9108&amp;mode=appCenter&amp;path_pc=pc/pages/in-process/index?instanceId=7639646759699467468&amp;source=bitable&amp;path=pages/detail/index?instanceId=7639646759699467468&amp;source=bitable","202605140002")</f>
        <v>202605140002</v>
      </c>
      <c r="B4" t="s">
        <v>26</v>
      </c>
      <c r="C4" t="s">
        <v>27</v>
      </c>
      <c r="D4" t="s">
        <v>28</v>
      </c>
      <c r="E4" s="3">
        <v>46156.6466666667</v>
      </c>
      <c r="F4" s="3">
        <v>46156.649849537</v>
      </c>
      <c r="G4" t="s">
        <v>29</v>
      </c>
      <c r="K4" t="s">
        <v>42</v>
      </c>
      <c r="L4" t="s">
        <v>43</v>
      </c>
      <c r="M4" t="s">
        <v>44</v>
      </c>
      <c r="N4">
        <v>5</v>
      </c>
      <c r="O4" t="s">
        <v>33</v>
      </c>
      <c r="P4" t="s">
        <v>34</v>
      </c>
      <c r="Q4">
        <v>20</v>
      </c>
      <c r="R4">
        <v>100</v>
      </c>
      <c r="S4">
        <v>100</v>
      </c>
      <c r="T4" t="s">
        <v>29</v>
      </c>
      <c r="U4" s="4">
        <v>46156</v>
      </c>
      <c r="V4" t="s">
        <v>45</v>
      </c>
      <c r="W4" t="s">
        <v>36</v>
      </c>
      <c r="X4" t="s">
        <v>37</v>
      </c>
      <c r="Y4" t="s">
        <v>24</v>
      </c>
      <c r="Z4" t="s">
        <v>25</v>
      </c>
    </row>
    <row r="5" ht="25.5" customHeight="1" spans="1:26">
      <c r="A5" s="2" t="str">
        <f>HYPERLINK("https://applink.feishu.cn/client/mini_program/open?appId=cli_9cb844403dbb9108&amp;mode=appCenter&amp;path_pc=pc/pages/in-process/index?instanceId=7640326306684734431&amp;source=bitable&amp;path=pages/detail/index?instanceId=7640326306684734431&amp;source=bitable","202605160001")</f>
        <v>202605160001</v>
      </c>
      <c r="B5" t="s">
        <v>46</v>
      </c>
      <c r="C5" t="s">
        <v>27</v>
      </c>
      <c r="D5" t="s">
        <v>28</v>
      </c>
      <c r="E5" s="3">
        <v>46158.4779050926</v>
      </c>
      <c r="F5" s="3">
        <v>46158.5487962963</v>
      </c>
      <c r="G5" t="s">
        <v>29</v>
      </c>
      <c r="K5" t="s">
        <v>47</v>
      </c>
      <c r="L5" t="s">
        <v>48</v>
      </c>
      <c r="M5" t="s">
        <v>32</v>
      </c>
      <c r="N5">
        <v>5</v>
      </c>
      <c r="O5" t="s">
        <v>33</v>
      </c>
      <c r="P5" t="s">
        <v>34</v>
      </c>
      <c r="Q5">
        <v>10</v>
      </c>
      <c r="R5">
        <v>50</v>
      </c>
      <c r="S5">
        <v>100</v>
      </c>
      <c r="T5" t="s">
        <v>29</v>
      </c>
      <c r="U5" s="4">
        <v>46158</v>
      </c>
      <c r="V5" t="s">
        <v>49</v>
      </c>
      <c r="W5" t="s">
        <v>36</v>
      </c>
      <c r="X5" t="s">
        <v>37</v>
      </c>
      <c r="Y5" t="s">
        <v>24</v>
      </c>
      <c r="Z5" t="s">
        <v>25</v>
      </c>
    </row>
    <row r="6" ht="25.5" customHeight="1" spans="1:26">
      <c r="A6" s="2" t="str">
        <f>HYPERLINK("https://applink.feishu.cn/client/mini_program/open?appId=cli_9cb844403dbb9108&amp;mode=appCenter&amp;path_pc=pc/pages/in-process/index?instanceId=7640326306684734431&amp;source=bitable&amp;path=pages/detail/index?instanceId=7640326306684734431&amp;source=bitable","202605160001")</f>
        <v>202605160001</v>
      </c>
      <c r="B6" t="s">
        <v>46</v>
      </c>
      <c r="C6" t="s">
        <v>27</v>
      </c>
      <c r="D6" t="s">
        <v>28</v>
      </c>
      <c r="E6" s="3">
        <v>46158.4779050926</v>
      </c>
      <c r="F6" s="3">
        <v>46158.5487962963</v>
      </c>
      <c r="G6" t="s">
        <v>29</v>
      </c>
      <c r="K6" t="s">
        <v>50</v>
      </c>
      <c r="L6" t="s">
        <v>51</v>
      </c>
      <c r="M6" t="s">
        <v>44</v>
      </c>
      <c r="N6">
        <v>5</v>
      </c>
      <c r="O6" t="s">
        <v>33</v>
      </c>
      <c r="P6" t="s">
        <v>34</v>
      </c>
      <c r="Q6">
        <v>10</v>
      </c>
      <c r="R6">
        <v>50</v>
      </c>
      <c r="S6">
        <v>100</v>
      </c>
      <c r="T6" t="s">
        <v>29</v>
      </c>
      <c r="U6" s="4">
        <v>46158</v>
      </c>
      <c r="V6" t="s">
        <v>52</v>
      </c>
      <c r="W6" t="s">
        <v>36</v>
      </c>
      <c r="X6" t="s">
        <v>37</v>
      </c>
      <c r="Y6" t="s">
        <v>24</v>
      </c>
      <c r="Z6" t="s">
        <v>25</v>
      </c>
    </row>
  </sheetData>
  <dataValidations count="10">
    <dataValidation type="list" sqref="B2:B5">
      <formula1>"DD005,DD003"</formula1>
    </dataValidation>
    <dataValidation type="list" sqref="C2:C5">
      <formula1>"已通过,已删除,审批中,已拒绝,已取消,已终止,已撤回"</formula1>
    </dataValidation>
    <dataValidation type="list" sqref="D2:D5">
      <formula1>"物料采购-测试,物料采购申请-测试"</formula1>
    </dataValidation>
    <dataValidation type="list" sqref="K2:K5">
      <formula1>"CL018,CL020,CL022,CL019,CL023"</formula1>
    </dataValidation>
    <dataValidation type="list" sqref="L2:L5">
      <formula1>"亚克力板,铝合金框架,KT板,喷绘布,PVC板"</formula1>
    </dataValidation>
    <dataValidation type="list" sqref="M2:M5">
      <formula1>"深蓝智和,上海广告材料有限公司"</formula1>
    </dataValidation>
    <dataValidation type="list" sqref="O2:O5">
      <formula1>"CNY"</formula1>
    </dataValidation>
    <dataValidation type="list" sqref="P2:P5">
      <formula1>"㎡,副"</formula1>
    </dataValidation>
    <dataValidation type="list" sqref="W2:W5">
      <formula1>"已下单,待下单"</formula1>
    </dataValidation>
    <dataValidation type="list" sqref="X2:X5">
      <formula1>"待入库,已入库"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下单申请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Administrator</cp:lastModifiedBy>
  <dcterms:created xsi:type="dcterms:W3CDTF">2006-09-16T00:00:00Z</dcterms:created>
  <dcterms:modified xsi:type="dcterms:W3CDTF">2026-05-18T03:09:45Z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756578C5EBF7470C9EE1B08D60DB5A03_12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